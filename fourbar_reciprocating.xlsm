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9980" windowHeight="7560" activeTab="1"/>
  </bookViews>
  <sheets>
    <sheet name="reciprocating" sheetId="4" r:id="rId1"/>
    <sheet name="fourbar" sheetId="1" r:id="rId2"/>
    <sheet name="Sheet3" sheetId="3" r:id="rId3"/>
  </sheets>
  <definedNames>
    <definedName name="Angle" localSheetId="0">reciprocating!$G$2</definedName>
    <definedName name="Angle">fourbar!$G$2</definedName>
    <definedName name="Angle2">reciprocating!$G$14</definedName>
    <definedName name="len_1" localSheetId="0">reciprocating!$C$1</definedName>
    <definedName name="len_1">fourbar!$C$1</definedName>
    <definedName name="len_2" localSheetId="0">reciprocating!$C$2</definedName>
    <definedName name="len_2">fourbar!$C$2</definedName>
    <definedName name="len_3">reciprocating!$C$3</definedName>
    <definedName name="Theta" localSheetId="0">reciprocating!$G$1</definedName>
    <definedName name="Theta">fourbar!$G$1</definedName>
  </definedNames>
  <calcPr calcId="145621"/>
</workbook>
</file>

<file path=xl/calcChain.xml><?xml version="1.0" encoding="utf-8"?>
<calcChain xmlns="http://schemas.openxmlformats.org/spreadsheetml/2006/main">
  <c r="C18" i="4" l="1"/>
  <c r="G2" i="4"/>
  <c r="C6" i="4" s="1"/>
  <c r="B14" i="1"/>
  <c r="G2" i="1"/>
  <c r="B6" i="1" s="1"/>
  <c r="B9" i="1" s="1"/>
  <c r="B10" i="1" s="1"/>
  <c r="B13" i="1" s="1"/>
  <c r="C9" i="4" l="1"/>
  <c r="G14" i="4"/>
  <c r="B10" i="4" s="1"/>
  <c r="B13" i="4" s="1"/>
  <c r="B9" i="4"/>
  <c r="B6" i="4"/>
  <c r="C6" i="1"/>
  <c r="C9" i="1" s="1"/>
  <c r="C10" i="1" s="1"/>
  <c r="C13" i="1" s="1"/>
  <c r="C13" i="4"/>
  <c r="B14" i="4" l="1"/>
  <c r="B18" i="4"/>
</calcChain>
</file>

<file path=xl/sharedStrings.xml><?xml version="1.0" encoding="utf-8"?>
<sst xmlns="http://schemas.openxmlformats.org/spreadsheetml/2006/main" count="18" uniqueCount="10">
  <si>
    <t>l1</t>
  </si>
  <si>
    <t>l2</t>
  </si>
  <si>
    <t>Angle</t>
  </si>
  <si>
    <t>Theta</t>
  </si>
  <si>
    <t>Line 1</t>
  </si>
  <si>
    <t>Line2</t>
  </si>
  <si>
    <t>line3</t>
  </si>
  <si>
    <t>Line 4</t>
  </si>
  <si>
    <t>Angle2</t>
  </si>
  <si>
    <t>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</si>
</sst>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reciprocating!$B$5:$B$6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reciprocating!$C$5:$C$6</c:f>
              <c:numCache>
                <c:formatCode>General</c:formatCode>
                <c:ptCount val="2"/>
                <c:pt idx="0">
                  <c:v>0</c:v>
                </c:pt>
                <c:pt idx="1">
                  <c:v>-2.45029690981724E-16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reciprocating!$B$9:$B$10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reciprocating!$C$9:$C$10</c:f>
              <c:numCache>
                <c:formatCode>General</c:formatCode>
                <c:ptCount val="2"/>
                <c:pt idx="0">
                  <c:v>-2.45029690981724E-16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reciprocating!$B$13:$B$14</c:f>
              <c:numCache>
                <c:formatCode>General</c:formatCode>
                <c:ptCount val="2"/>
                <c:pt idx="0">
                  <c:v>6</c:v>
                </c:pt>
                <c:pt idx="1">
                  <c:v>7</c:v>
                </c:pt>
              </c:numCache>
            </c:numRef>
          </c:xVal>
          <c:yVal>
            <c:numRef>
              <c:f>reciprocating!$C$13:$C$14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reciprocating!$B$17:$B$18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xVal>
          <c:yVal>
            <c:numRef>
              <c:f>reciprocating!$C$17:$C$18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66688"/>
        <c:axId val="89668608"/>
      </c:scatterChart>
      <c:valAx>
        <c:axId val="89666688"/>
        <c:scaling>
          <c:orientation val="minMax"/>
          <c:max val="7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89668608"/>
        <c:crosses val="autoZero"/>
        <c:crossBetween val="midCat"/>
        <c:majorUnit val="8"/>
      </c:valAx>
      <c:valAx>
        <c:axId val="89668608"/>
        <c:scaling>
          <c:orientation val="minMax"/>
          <c:max val="1"/>
          <c:min val="-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666688"/>
        <c:crosses val="autoZero"/>
        <c:crossBetween val="midCat"/>
        <c:majorUnit val="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fourbar!$B$5:$B$6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fourbar!$C$5:$C$6</c:f>
              <c:numCache>
                <c:formatCode>General</c:formatCode>
                <c:ptCount val="2"/>
                <c:pt idx="0">
                  <c:v>0</c:v>
                </c:pt>
                <c:pt idx="1">
                  <c:v>-2.45029690981724E-16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fourbar!$B$9:$B$10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xVal>
          <c:yVal>
            <c:numRef>
              <c:f>fourbar!$C$9:$C$10</c:f>
              <c:numCache>
                <c:formatCode>General</c:formatCode>
                <c:ptCount val="2"/>
                <c:pt idx="0">
                  <c:v>-2.45029690981724E-16</c:v>
                </c:pt>
                <c:pt idx="1">
                  <c:v>-2.45029690981724E-16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fourbar!$B$13:$B$14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xVal>
          <c:yVal>
            <c:numRef>
              <c:f>fourbar!$C$13:$C$14</c:f>
              <c:numCache>
                <c:formatCode>General</c:formatCode>
                <c:ptCount val="2"/>
                <c:pt idx="0">
                  <c:v>-2.45029690981724E-16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fourbar!$B$17:$B$18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fourbar!$C$17:$C$18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27072"/>
        <c:axId val="77825536"/>
      </c:scatterChart>
      <c:valAx>
        <c:axId val="77827072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77825536"/>
        <c:crosses val="autoZero"/>
        <c:crossBetween val="midCat"/>
        <c:majorUnit val="3"/>
      </c:valAx>
      <c:valAx>
        <c:axId val="77825536"/>
        <c:scaling>
          <c:orientation val="minMax"/>
          <c:max val="1"/>
          <c:min val="-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827072"/>
        <c:crosses val="autoZero"/>
        <c:crossBetween val="midCat"/>
        <c:majorUnit val="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414337</xdr:colOff>
      <xdr:row>11</xdr:row>
      <xdr:rowOff>76198</xdr:rowOff>
    </xdr:from>
    <xdr:to>
      <xdr:col>18</xdr:col>
      <xdr:colOff>14291</xdr:colOff>
      <xdr:row>22</xdr:row>
      <xdr:rowOff>57149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400050</xdr:colOff>
      <xdr:row>6</xdr:row>
      <xdr:rowOff>66675</xdr:rowOff>
    </xdr:from>
    <xdr:to>
      <xdr:col>7</xdr:col>
      <xdr:colOff>438150</xdr:colOff>
      <xdr:row>9</xdr:row>
      <xdr:rowOff>161925</xdr:rowOff>
    </xdr:to>
    <xdr:sp macro="[0]!reciprocating" textlink="">
      <xdr:nvSpPr>
        <xdr:cNvPr id="3" name="Rounded Rectangle 2"/>
        <xdr:cNvSpPr/>
      </xdr:nvSpPr>
      <xdr:spPr>
        <a:xfrm>
          <a:off x="2838450" y="1209675"/>
          <a:ext cx="1866900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Reciprocating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566737</xdr:colOff>
      <xdr:row>1</xdr:row>
      <xdr:rowOff>123824</xdr:rowOff>
    </xdr:from>
    <xdr:to>
      <xdr:col>16</xdr:col>
      <xdr:colOff>90489</xdr:colOff>
      <xdr:row>17</xdr:row>
      <xdr:rowOff>9525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400050</xdr:colOff>
      <xdr:row>6</xdr:row>
      <xdr:rowOff>66675</xdr:rowOff>
    </xdr:from>
    <xdr:to>
      <xdr:col>7</xdr:col>
      <xdr:colOff>438150</xdr:colOff>
      <xdr:row>9</xdr:row>
      <xdr:rowOff>161925</xdr:rowOff>
    </xdr:to>
    <xdr:sp macro="[0]!fourbar" textlink="">
      <xdr:nvSpPr>
        <xdr:cNvPr id="3" name="Rounded Rectangle 2"/>
        <xdr:cNvSpPr/>
      </xdr:nvSpPr>
      <xdr:spPr>
        <a:xfrm>
          <a:off x="2838450" y="1209675"/>
          <a:ext cx="1866900" cy="666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Four Bar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K5" sqref="K5"/>
    </sheetView>
  </sheetViews>
  <sheetFormatPr defaultRowHeight="15" x14ac:dyDescent="0.25"/>
  <cols>
    <col min="7" max="7" width="11.7109375" bestFit="1" customWidth="1"/>
  </cols>
  <sheetData>
    <row r="1" spans="1:7" x14ac:dyDescent="0.25">
      <c r="B1" s="1" t="s">
        <v>0</v>
      </c>
      <c r="C1" s="1">
        <v>1</v>
      </c>
      <c r="F1" s="3" t="s">
        <v>3</v>
      </c>
      <c r="G1" s="3">
        <v>360</v>
      </c>
    </row>
    <row r="2" spans="1:7" x14ac:dyDescent="0.25">
      <c r="B2" s="1" t="s">
        <v>1</v>
      </c>
      <c r="C2" s="1">
        <v>5</v>
      </c>
      <c r="F2" s="3" t="s">
        <v>2</v>
      </c>
      <c r="G2" s="3">
        <f>RADIANS(G1)</f>
        <v>6.2831853071795862</v>
      </c>
    </row>
    <row r="3" spans="1:7" x14ac:dyDescent="0.25">
      <c r="B3" s="1" t="s">
        <v>9</v>
      </c>
      <c r="C3" s="1">
        <v>1</v>
      </c>
    </row>
    <row r="4" spans="1:7" x14ac:dyDescent="0.25">
      <c r="A4" s="2" t="s">
        <v>4</v>
      </c>
      <c r="B4" s="2"/>
      <c r="C4" s="2"/>
    </row>
    <row r="5" spans="1:7" x14ac:dyDescent="0.25">
      <c r="B5" s="2">
        <v>0</v>
      </c>
      <c r="C5" s="2">
        <v>0</v>
      </c>
    </row>
    <row r="6" spans="1:7" x14ac:dyDescent="0.25">
      <c r="B6" s="2">
        <f>len_1*COS(Angle)</f>
        <v>1</v>
      </c>
      <c r="C6" s="2">
        <f>len_1*SIN(Angle)</f>
        <v>-2.45029690981724E-16</v>
      </c>
    </row>
    <row r="7" spans="1:7" x14ac:dyDescent="0.25">
      <c r="B7" s="2"/>
      <c r="C7" s="2"/>
    </row>
    <row r="8" spans="1:7" x14ac:dyDescent="0.25">
      <c r="A8" s="2" t="s">
        <v>5</v>
      </c>
      <c r="B8" s="2"/>
      <c r="C8" s="2"/>
    </row>
    <row r="9" spans="1:7" x14ac:dyDescent="0.25">
      <c r="B9" s="2">
        <f>len_1*COS(Angle)</f>
        <v>1</v>
      </c>
      <c r="C9" s="2">
        <f>len_1*SIN(Angle)</f>
        <v>-2.45029690981724E-16</v>
      </c>
    </row>
    <row r="10" spans="1:7" x14ac:dyDescent="0.25">
      <c r="B10" s="2">
        <f>len_1*COS(Angle)+len_2*COS(Angle2)</f>
        <v>6</v>
      </c>
      <c r="C10" s="2">
        <v>0</v>
      </c>
    </row>
    <row r="11" spans="1:7" x14ac:dyDescent="0.25">
      <c r="B11" s="2"/>
      <c r="C11" s="2"/>
    </row>
    <row r="12" spans="1:7" x14ac:dyDescent="0.25">
      <c r="A12" s="2" t="s">
        <v>6</v>
      </c>
      <c r="B12" s="2"/>
      <c r="C12" s="2"/>
    </row>
    <row r="13" spans="1:7" x14ac:dyDescent="0.25">
      <c r="B13" s="2">
        <f>B10</f>
        <v>6</v>
      </c>
      <c r="C13" s="2">
        <f>C10</f>
        <v>0</v>
      </c>
    </row>
    <row r="14" spans="1:7" x14ac:dyDescent="0.25">
      <c r="B14" s="2">
        <f>B13+C3</f>
        <v>7</v>
      </c>
      <c r="C14" s="2">
        <v>0</v>
      </c>
      <c r="F14" s="3" t="s">
        <v>8</v>
      </c>
      <c r="G14" s="3">
        <f>ASIN(len_1*SIN(Angle)/len_2)</f>
        <v>-4.90059381963448E-17</v>
      </c>
    </row>
    <row r="16" spans="1:7" x14ac:dyDescent="0.25">
      <c r="A16" t="s">
        <v>7</v>
      </c>
    </row>
    <row r="17" spans="2:3" x14ac:dyDescent="0.25">
      <c r="B17" s="2">
        <v>0</v>
      </c>
      <c r="C17" s="2">
        <v>0</v>
      </c>
    </row>
    <row r="18" spans="2:3" x14ac:dyDescent="0.25">
      <c r="B18" s="2">
        <f>B13</f>
        <v>6</v>
      </c>
      <c r="C18" s="2">
        <f>C14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"/>
  <sheetViews>
    <sheetView tabSelected="1" workbookViewId="0">
      <selection activeCell="F17" sqref="F17"/>
    </sheetView>
  </sheetViews>
  <sheetFormatPr defaultRowHeight="15" x14ac:dyDescent="0.25"/>
  <sheetData>
    <row r="1" spans="1:7" x14ac:dyDescent="0.25">
      <c r="B1" s="1" t="s">
        <v>0</v>
      </c>
      <c r="C1" s="1">
        <v>1</v>
      </c>
      <c r="F1" s="3" t="s">
        <v>3</v>
      </c>
      <c r="G1" s="3">
        <v>360</v>
      </c>
    </row>
    <row r="2" spans="1:7" x14ac:dyDescent="0.25">
      <c r="B2" s="1" t="s">
        <v>1</v>
      </c>
      <c r="C2" s="1">
        <v>1</v>
      </c>
      <c r="F2" s="3" t="s">
        <v>2</v>
      </c>
      <c r="G2" s="3">
        <f>RADIANS(G1)</f>
        <v>6.2831853071795862</v>
      </c>
    </row>
    <row r="4" spans="1:7" x14ac:dyDescent="0.25">
      <c r="A4" s="2" t="s">
        <v>4</v>
      </c>
      <c r="B4" s="2"/>
      <c r="C4" s="2"/>
    </row>
    <row r="5" spans="1:7" x14ac:dyDescent="0.25">
      <c r="B5" s="2">
        <v>0</v>
      </c>
      <c r="C5" s="2">
        <v>0</v>
      </c>
    </row>
    <row r="6" spans="1:7" x14ac:dyDescent="0.25">
      <c r="B6" s="2">
        <f>len_1*COS(Angle)</f>
        <v>1</v>
      </c>
      <c r="C6" s="2">
        <f>len_1*SIN(Angle)</f>
        <v>-2.45029690981724E-16</v>
      </c>
    </row>
    <row r="7" spans="1:7" x14ac:dyDescent="0.25">
      <c r="B7" s="2"/>
      <c r="C7" s="2"/>
    </row>
    <row r="8" spans="1:7" x14ac:dyDescent="0.25">
      <c r="A8" s="2" t="s">
        <v>5</v>
      </c>
      <c r="B8" s="2"/>
      <c r="C8" s="2"/>
    </row>
    <row r="9" spans="1:7" x14ac:dyDescent="0.25">
      <c r="B9" s="2">
        <f>B6</f>
        <v>1</v>
      </c>
      <c r="C9" s="2">
        <f>C6</f>
        <v>-2.45029690981724E-16</v>
      </c>
    </row>
    <row r="10" spans="1:7" x14ac:dyDescent="0.25">
      <c r="B10" s="2">
        <f>B9+len_2</f>
        <v>2</v>
      </c>
      <c r="C10" s="2">
        <f>C9</f>
        <v>-2.45029690981724E-16</v>
      </c>
    </row>
    <row r="11" spans="1:7" x14ac:dyDescent="0.25">
      <c r="B11" s="2"/>
      <c r="C11" s="2"/>
    </row>
    <row r="12" spans="1:7" x14ac:dyDescent="0.25">
      <c r="A12" s="2" t="s">
        <v>6</v>
      </c>
      <c r="B12" s="2"/>
      <c r="C12" s="2"/>
    </row>
    <row r="13" spans="1:7" x14ac:dyDescent="0.25">
      <c r="B13" s="2">
        <f>B10</f>
        <v>2</v>
      </c>
      <c r="C13" s="2">
        <f>C10</f>
        <v>-2.45029690981724E-16</v>
      </c>
    </row>
    <row r="14" spans="1:7" x14ac:dyDescent="0.25">
      <c r="B14" s="2">
        <f>len_1</f>
        <v>1</v>
      </c>
      <c r="C14" s="2">
        <v>0</v>
      </c>
    </row>
    <row r="16" spans="1:7" x14ac:dyDescent="0.25">
      <c r="A16" t="s">
        <v>7</v>
      </c>
    </row>
    <row r="17" spans="2:3" x14ac:dyDescent="0.25">
      <c r="B17">
        <v>0</v>
      </c>
      <c r="C17">
        <v>0</v>
      </c>
    </row>
    <row r="18" spans="2:3" x14ac:dyDescent="0.25">
      <c r="B18">
        <v>1</v>
      </c>
      <c r="C18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reciprocating</vt:lpstr>
      <vt:lpstr>fourbar</vt:lpstr>
      <vt:lpstr>Sheet3</vt:lpstr>
      <vt:lpstr>reciprocating!Angle</vt:lpstr>
      <vt:lpstr>Angle</vt:lpstr>
      <vt:lpstr>Angle2</vt:lpstr>
      <vt:lpstr>reciprocating!len_1</vt:lpstr>
      <vt:lpstr>len_1</vt:lpstr>
      <vt:lpstr>reciprocating!len_2</vt:lpstr>
      <vt:lpstr>len_2</vt:lpstr>
      <vt:lpstr>len_3</vt:lpstr>
      <vt:lpstr>reciprocating!Theta</vt:lpstr>
      <vt:lpstr>Theta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2020-04-26T12:37:39Z</dcterms:created>
  <dcterms:modified xsi:type="dcterms:W3CDTF">2020-04-26T13:24:37Z</dcterms:modified>
</cp:coreProperties>
</file>